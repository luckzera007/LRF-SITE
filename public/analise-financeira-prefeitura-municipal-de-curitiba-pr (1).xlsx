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Módulo 1 - Análise Financeira" state="visible" r:id="rId4"/>
    <sheet sheetId="2" name="Módulo 2 - Tabela Vencimentos" state="visible" r:id="rId5"/>
  </sheets>
  <calcPr calcId="171027" fullCalcOnLoad="1"/>
</workbook>
</file>

<file path=xl/sharedStrings.xml><?xml version="1.0" encoding="utf-8"?>
<sst xmlns="http://schemas.openxmlformats.org/spreadsheetml/2006/main" count="67" uniqueCount="36">
  <si>
    <t>ANÁLISE DE VIABILIDADE FINANCEIRA</t>
  </si>
  <si>
    <t>PAGAMENTO PISO NACIONAL DO MAGISTÉRIO</t>
  </si>
  <si>
    <t>MUNICÍPIO: Prefeitura Municipal de Curitiba - PR / PR  (edite esta célula com o nome do município)</t>
  </si>
  <si>
    <t>INDICADOR / ANO</t>
  </si>
  <si>
    <t>RREO - Receita Corrente Líquida Ajustada (R$)</t>
  </si>
  <si>
    <t xml:space="preserve">   Evolução Anal da Receita (%)</t>
  </si>
  <si>
    <t>-</t>
  </si>
  <si>
    <t xml:space="preserve">   Evolução Acumulada da Receita (%)</t>
  </si>
  <si>
    <t>RGF - Despesa Total com Pessoal (R$)</t>
  </si>
  <si>
    <t xml:space="preserve">   Evolução Anual da Despesa com Pessoal (%)</t>
  </si>
  <si>
    <t xml:space="preserve">   Evolução Acumulada da Despesa com Pessoal (%)</t>
  </si>
  <si>
    <t>% Despesa com Pessoal / Receita Corrente Líquida</t>
  </si>
  <si>
    <t>RREO - Transferências FUNDEB / Manutenção e Desenvolvimento da Educação (R$)</t>
  </si>
  <si>
    <t xml:space="preserve">   Evolução Anual do FUNDEB (%)</t>
  </si>
  <si>
    <t xml:space="preserve">   Evolução Acumulada do FUNDEB (%)</t>
  </si>
  <si>
    <t>FAIXAS DE LIMITE DA LEI DE RESPONSABILIDADE FISCAL (LRF) - Despesa com Pessoal / RCL</t>
  </si>
  <si>
    <t>LIMITE MÁXIMO (arts. 20, I, II e III, da LRF) - acima: município fica travado para investimentos</t>
  </si>
  <si>
    <t>LIMITE PRUDENCIAL (parágrafo único do art. 22 da LRF) - acima: controle maior do TCM</t>
  </si>
  <si>
    <t>LIMITE DE ALERTA (inciso II do §1º do art. 59 da LRF) - acima: município já deve adotar providências</t>
  </si>
  <si>
    <t>ATÉ O LIMITE DE ALERTA (≤ 48,6%) - situação regular</t>
  </si>
  <si>
    <t>NOTA: células em amarelo claro são de entrada de dados (importação manual/automática do TCM). As demais são calculadas automaticamente.</t>
  </si>
  <si>
    <t>PISO NACIONAL DO MAGISTÉRIO (inicial) - edite conforme divulgação do MEC:</t>
  </si>
  <si>
    <t xml:space="preserve">  &lt;- células abaixo deste valor ficam em VERMELHO (ilegal)</t>
  </si>
  <si>
    <t>TABELA DE VENCIMENTOS ATUAL DO MUNICÍPIO (importar do PDF da prefeitura)</t>
  </si>
  <si>
    <t>PROFESSOR/A - 20 HORAS</t>
  </si>
  <si>
    <t>Classes</t>
  </si>
  <si>
    <t>A</t>
  </si>
  <si>
    <t>B (15%)</t>
  </si>
  <si>
    <t>C (6,5%)</t>
  </si>
  <si>
    <t>D (10%)</t>
  </si>
  <si>
    <t>TABELA DE VENCIMENTOS - REFERÊNCIA PSPN (Piso Federal - MEC)</t>
  </si>
  <si>
    <t>DEFASAGEM SALARIAL MENSAL (Tabela Federal - Tabela Municipal)</t>
  </si>
  <si>
    <t>PROFESSOR/A - 20 HORAS  (valores negativos = município paga abaixo do piso federal)</t>
  </si>
  <si>
    <t>DEFASAGEM SALARIAL EM RELAÇÃO AO PISO NACIONAL DO MAGISTÉRIO (média ponderada das 92 células)</t>
  </si>
  <si>
    <t>VALOR MENSAL TOTAL NÃO RECEBIDO (soma das defasagens das 92 células, R$):</t>
  </si>
  <si>
    <t>OBS: A tabela municipal acima é um modelo (exemplo de Altônia-PR). Substitua os valores pelos dados do PDF da prefeitura analisada; as defasagens e o % recalculam automaticamente.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</si>
</sst>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14" x14ac:knownFonts="1">
    <font>
      <color theme="1"/>
      <family val="2"/>
      <scheme val="minor"/>
      <sz val="11"/>
      <name val="Calibri"/>
    </font>
    <font>
      <b/>
      <charset val="1"/>
      <color rgb="FFFFFFFF"/>
      <sz val="14"/>
      <name val="Cambria"/>
    </font>
    <font>
      <b/>
      <charset val="1"/>
      <color rgb="FFFFFFFF"/>
      <sz val="12"/>
      <name val="Cambria"/>
    </font>
    <font>
      <b/>
      <charset val="1"/>
      <sz val="11"/>
      <name val="Cambria"/>
    </font>
    <font>
      <charset val="1"/>
      <color rgb="FF000000"/>
      <family val="2"/>
      <sz val="11"/>
      <name val="Calibri"/>
    </font>
    <font>
      <charset val="1"/>
      <color rgb="FF9C0006"/>
      <sz val="11"/>
      <name val="Cambria"/>
    </font>
    <font>
      <charset val="1"/>
      <color rgb="FF9C6500"/>
      <sz val="11"/>
      <name val="Cambria"/>
    </font>
    <font>
      <charset val="1"/>
      <color rgb="FF1F4E78"/>
      <sz val="11"/>
      <name val="Cambria"/>
    </font>
    <font>
      <charset val="1"/>
      <color rgb="FF006100"/>
      <sz val="11"/>
      <name val="Cambria"/>
    </font>
    <font>
      <i/>
      <charset val="1"/>
      <sz val="9"/>
      <name val="Cambria"/>
    </font>
    <font>
      <b/>
      <charset val="1"/>
      <color rgb="FF9C0006"/>
      <sz val="11"/>
      <name val="Cambria"/>
    </font>
    <font>
      <b/>
      <charset val="1"/>
      <color rgb="FFFFFFFF"/>
      <sz val="11"/>
      <name val="Cambria"/>
    </font>
    <font>
      <b/>
      <charset val="1"/>
      <color rgb="FFFFFFFF"/>
      <sz val="10"/>
      <name val="Cambria"/>
    </font>
    <font>
      <b/>
      <charset val="1"/>
      <color rgb="FFFFFFFF"/>
      <sz val="22"/>
      <name val="Cambria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DDEBF7"/>
      </patternFill>
    </fill>
    <fill>
      <patternFill patternType="solid">
        <fgColor rgb="FFFFF2CC"/>
        <bgColor rgb="FFF9F9F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548235"/>
        <bgColor rgb="FF878787"/>
      </patternFill>
    </fill>
    <fill>
      <patternFill patternType="solid">
        <fgColor rgb="FFA9D08E"/>
        <bgColor rgb="FFBFBFBF"/>
      </patternFill>
    </fill>
    <fill>
      <patternFill patternType="solid">
        <fgColor rgb="FFE2EFDA"/>
        <bgColor rgb="FFDDEBF7"/>
      </patternFill>
    </fill>
    <fill>
      <patternFill patternType="solid">
        <fgColor rgb="FF7030A0"/>
        <bgColor rgb="FF800080"/>
      </patternFill>
    </fill>
    <fill>
      <patternFill patternType="solid">
        <fgColor rgb="FFCCC0DA"/>
        <bgColor rgb="FFBFBFBF"/>
      </patternFill>
    </fill>
    <fill>
      <patternFill patternType="solid">
        <fgColor rgb="FFC00000"/>
        <bgColor rgb="FF9C0006"/>
      </patternFill>
    </fill>
    <fill>
      <patternFill patternType="solid">
        <fgColor rgb="FFF4B084"/>
        <bgColor rgb="FFFFC7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10" fontId="5" fillId="5" borderId="1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/>
    </xf>
    <xf numFmtId="10" fontId="6" fillId="6" borderId="1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/>
    </xf>
    <xf numFmtId="10" fontId="7" fillId="7" borderId="1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/>
    </xf>
    <xf numFmtId="10" fontId="8" fillId="8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bottom"/>
    </xf>
    <xf numFmtId="0" fontId="3" fillId="0" borderId="0" xfId="0" applyFont="1" applyAlignment="1">
      <alignment horizontal="left" vertical="center"/>
    </xf>
    <xf numFmtId="164" fontId="10" fillId="4" borderId="1" xfId="0" applyNumberFormat="1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right" vertical="center"/>
    </xf>
    <xf numFmtId="0" fontId="2" fillId="12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/>
    </xf>
    <xf numFmtId="10" fontId="13" fillId="14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bottom"/>
    </xf>
    <xf numFmtId="164" fontId="10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953125"/>
  <cols>
    <col min="1" max="1" width="61.99" customWidth="1"/>
    <col min="2" max="8" width="18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9.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5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ht="15" customHeight="1" spans="1:8" x14ac:dyDescent="0.25">
      <c r="A5" s="4" t="s">
        <v>3</v>
      </c>
      <c r="B5" s="4">
        <v>2019</v>
      </c>
      <c r="C5" s="4">
        <v>2020</v>
      </c>
      <c r="D5" s="4">
        <v>2021</v>
      </c>
      <c r="E5" s="4">
        <v>2022</v>
      </c>
      <c r="F5" s="4">
        <v>2023</v>
      </c>
      <c r="G5" s="4">
        <v>2024</v>
      </c>
      <c r="H5" s="4">
        <v>2025</v>
      </c>
    </row>
    <row r="6" ht="15" customHeight="1" spans="1:8" x14ac:dyDescent="0.25">
      <c r="A6" s="5" t="s">
        <v>4</v>
      </c>
      <c r="B6" s="6">
        <v>6951128911.16</v>
      </c>
      <c r="C6" s="7">
        <v>7185826352.93</v>
      </c>
      <c r="D6" s="7">
        <v>8247118413.89</v>
      </c>
      <c r="E6" s="7">
        <v>9507080495.41</v>
      </c>
      <c r="F6" s="7">
        <v>10347719683.18</v>
      </c>
      <c r="G6" s="7">
        <v>11567170030.02</v>
      </c>
      <c r="H6" s="7">
        <v>12665458676.93</v>
      </c>
    </row>
    <row r="7" ht="15" customHeight="1" spans="1:8" x14ac:dyDescent="0.25">
      <c r="A7" s="8" t="s">
        <v>5</v>
      </c>
      <c r="B7" s="9" t="s">
        <v>6</v>
      </c>
      <c r="C7" s="10">
        <f>IF(OR(B6=0,B6="",C6=0,C6=""),"",(C6-B6)/B6)</f>
      </c>
      <c r="D7" s="10">
        <f>IF(OR(C6=0,C6="",D6=0,D6=""),"",(D6-C6)/C6)</f>
      </c>
      <c r="E7" s="10">
        <f>IF(OR(D6=0,D6="",E6=0,E6=""),"",(E6-D6)/D6)</f>
      </c>
      <c r="F7" s="10">
        <f>IF(OR(E6=0,E6="",F6=0,F6=""),"",(F6-E6)/E6)</f>
      </c>
      <c r="G7" s="10">
        <f>IF(OR(F6=0,F6="",G6=0,G6=""),"",(G6-F6)/F6)</f>
      </c>
      <c r="H7" s="10">
        <f>IF(OR(G6=0,G6="",H6=0,H6=""),"",(H6-G6)/G6)</f>
      </c>
    </row>
    <row r="8" ht="15" customHeight="1" spans="1:8" x14ac:dyDescent="0.25">
      <c r="A8" s="8" t="s">
        <v>7</v>
      </c>
      <c r="B8" s="9" t="s">
        <v>6</v>
      </c>
      <c r="C8" s="10">
        <f>IF(OR(B6=0,B6="",C6=0,C6=""),"",(C6-B6)/B6)</f>
      </c>
      <c r="D8" s="10">
        <f>IF(OR(B6=0,B6="",D6=0,D6=""),"",(D6-B6)/B6)</f>
      </c>
      <c r="E8" s="10">
        <f>IF(OR(B6=0,B6="",E6=0,E6=""),"",(E6-B6)/B6)</f>
      </c>
      <c r="F8" s="10">
        <f>IF(OR(B6=0,B6="",F6=0,F6=""),"",(F6-B6)/B6)</f>
      </c>
      <c r="G8" s="10">
        <f>IF(OR(B6=0,B6="",G6=0,G6=""),"",(G6-B6)/B6)</f>
      </c>
      <c r="H8" s="10">
        <f>IF(OR(B6=0,B6="",H6=0,H6=""),"",(H6-B6)/B6)</f>
      </c>
    </row>
    <row r="9" ht="15" customHeight="1" spans="1:8" x14ac:dyDescent="0.25">
      <c r="A9" s="5" t="s">
        <v>8</v>
      </c>
      <c r="B9" s="6">
        <v>2840560052.27</v>
      </c>
      <c r="C9" s="7">
        <v>3035771794.79</v>
      </c>
      <c r="D9" s="7">
        <v>3309546664.11</v>
      </c>
      <c r="E9" s="7">
        <v>3951105705.19</v>
      </c>
      <c r="F9" s="7">
        <v>4241021671.29</v>
      </c>
      <c r="G9" s="7">
        <v>4778474899.16</v>
      </c>
      <c r="H9" s="7">
        <v>5017241968.03</v>
      </c>
    </row>
    <row r="10" ht="15" customHeight="1" spans="1:8" x14ac:dyDescent="0.25">
      <c r="A10" s="8" t="s">
        <v>9</v>
      </c>
      <c r="B10" s="9" t="s">
        <v>6</v>
      </c>
      <c r="C10" s="10">
        <f>IF(OR(B9=0,B9="",C9=0,C9=""),"",(C9-B9)/B9)</f>
      </c>
      <c r="D10" s="10">
        <f>IF(OR(C9=0,C9="",D9=0,D9=""),"",(D9-C9)/C9)</f>
      </c>
      <c r="E10" s="10">
        <f>IF(OR(D9=0,D9="",E9=0,E9=""),"",(E9-D9)/D9)</f>
      </c>
      <c r="F10" s="10">
        <f>IF(OR(E9=0,E9="",F9=0,F9=""),"",(F9-E9)/E9)</f>
      </c>
      <c r="G10" s="10">
        <f>IF(OR(F9=0,F9="",G9=0,G9=""),"",(G9-F9)/F9)</f>
      </c>
      <c r="H10" s="10">
        <f>IF(OR(G9=0,G9="",H9=0,H9=""),"",(H9-G9)/G9)</f>
      </c>
    </row>
    <row r="11" ht="15" customHeight="1" spans="1:8" x14ac:dyDescent="0.25">
      <c r="A11" s="8" t="s">
        <v>10</v>
      </c>
      <c r="B11" s="9" t="s">
        <v>6</v>
      </c>
      <c r="C11" s="10">
        <f>IF(OR(B9=0,B9="",C9=0,C9=""),"",(C9-B9)/B9)</f>
      </c>
      <c r="D11" s="10">
        <f>IF(OR(B9=0,B9="",D9=0,D9=""),"",(D9-B9)/B9)</f>
      </c>
      <c r="E11" s="10">
        <f>IF(OR(B9=0,B9="",E9=0,E9=""),"",(E9-B9)/B9)</f>
      </c>
      <c r="F11" s="10">
        <f>IF(OR(B9=0,B9="",F9=0,F9=""),"",(F9-B9)/B9)</f>
      </c>
      <c r="G11" s="10">
        <f>IF(OR(B9=0,B9="",G9=0,G9=""),"",(G9-B9)/B9)</f>
      </c>
      <c r="H11" s="10">
        <f>IF(OR(B9=0,B9="",H9=0,H9=""),"",(H9-B9)/B9)</f>
      </c>
    </row>
    <row r="12" ht="15" customHeight="1" spans="1:8" x14ac:dyDescent="0.25">
      <c r="A12" s="5" t="s">
        <v>11</v>
      </c>
      <c r="B12" s="11">
        <f>IF(OR(B6=0,B6="",B9=0,B9=""),"",B9/B6)</f>
        <v>0.364572017647873</v>
      </c>
      <c r="C12" s="11">
        <f>IF(OR(C6=0,C6="",C9=0,C9=""),"",C9/C6)</f>
      </c>
      <c r="D12" s="11">
        <f>IF(OR(D6=0,D6="",D9=0,D9=""),"",D9/D6)</f>
      </c>
      <c r="E12" s="11">
        <f>IF(OR(E6=0,E6="",E9=0,E9=""),"",E9/E6)</f>
      </c>
      <c r="F12" s="11">
        <f>IF(OR(F6=0,F6="",F9=0,F9=""),"",F9/F6)</f>
      </c>
      <c r="G12" s="11">
        <f>IF(OR(G6=0,G6="",G9=0,G9=""),"",G9/G6)</f>
      </c>
      <c r="H12" s="11">
        <f>IF(OR(H6=0,H6="",H9=0,H9=""),"",H9/H6)</f>
      </c>
    </row>
    <row r="14" ht="15" customHeight="1" spans="1:8" x14ac:dyDescent="0.25">
      <c r="A14" s="5" t="s">
        <v>12</v>
      </c>
      <c r="B14" s="7"/>
      <c r="C14" s="7"/>
      <c r="D14" s="7"/>
      <c r="E14" s="7"/>
      <c r="F14" s="7"/>
      <c r="G14" s="7"/>
      <c r="H14" s="7"/>
    </row>
    <row r="15" ht="15" customHeight="1" spans="1:8" x14ac:dyDescent="0.25">
      <c r="A15" s="8" t="s">
        <v>13</v>
      </c>
      <c r="B15" s="9" t="s">
        <v>6</v>
      </c>
      <c r="C15" s="10">
        <f>IF(OR(B14=0,B14="",C14=0,C14=""),"",(C14-B14)/B14)</f>
      </c>
      <c r="D15" s="10">
        <f>IF(OR(C14=0,C14="",D14=0,D14=""),"",(D14-C14)/C14)</f>
      </c>
      <c r="E15" s="10">
        <f>IF(OR(D14=0,D14="",E14=0,E14=""),"",(E14-D14)/D14)</f>
      </c>
      <c r="F15" s="10">
        <f>IF(OR(E14=0,E14="",F14=0,F14=""),"",(F14-E14)/E14)</f>
      </c>
      <c r="G15" s="10">
        <f>IF(OR(F14=0,F14="",G14=0,G14=""),"",(G14-F14)/F14)</f>
      </c>
      <c r="H15" s="10">
        <f>IF(OR(G14=0,G14="",H14=0,H14=""),"",(H14-G14)/G14)</f>
      </c>
    </row>
    <row r="16" ht="15" customHeight="1" spans="1:8" x14ac:dyDescent="0.25">
      <c r="A16" s="8" t="s">
        <v>14</v>
      </c>
      <c r="B16" s="9" t="s">
        <v>6</v>
      </c>
      <c r="C16" s="10">
        <f>IF(OR(B14=0,B14="",C14=0,C14=""),"",(C14-B14)/B14)</f>
      </c>
      <c r="D16" s="10">
        <f>IF(OR(B14=0,B14="",D14=0,D14=""),"",(D14-B14)/B14)</f>
      </c>
      <c r="E16" s="10">
        <f>IF(OR(B14=0,B14="",E14=0,E14=""),"",(E14-B14)/B14)</f>
      </c>
      <c r="F16" s="10">
        <f>IF(OR(B14=0,B14="",F14=0,F14=""),"",(F14-B14)/B14)</f>
      </c>
      <c r="G16" s="10">
        <f>IF(OR(B14=0,B14="",G14=0,G14=""),"",(G14-B14)/B14)</f>
      </c>
      <c r="H16" s="10">
        <f>IF(OR(B14=0,B14="",H14=0,H14=""),"",(H14-B14)/B14)</f>
      </c>
    </row>
    <row r="18" ht="15" customHeight="1" spans="1:8" x14ac:dyDescent="0.25">
      <c r="A18" s="3" t="s">
        <v>15</v>
      </c>
      <c r="B18" s="3"/>
      <c r="C18" s="3"/>
      <c r="D18" s="3"/>
      <c r="E18" s="3"/>
      <c r="F18" s="3"/>
      <c r="G18" s="3"/>
      <c r="H18" s="3"/>
    </row>
    <row r="19" ht="15" customHeight="1" spans="1:8" x14ac:dyDescent="0.25">
      <c r="A19" s="12" t="s">
        <v>16</v>
      </c>
      <c r="B19" s="12"/>
      <c r="C19" s="12"/>
      <c r="D19" s="12"/>
      <c r="E19" s="12"/>
      <c r="F19" s="12"/>
      <c r="G19" s="12"/>
      <c r="H19" s="13">
        <v>0.54</v>
      </c>
    </row>
    <row r="20" ht="15" customHeight="1" spans="1:8" x14ac:dyDescent="0.25">
      <c r="A20" s="14" t="s">
        <v>17</v>
      </c>
      <c r="B20" s="14"/>
      <c r="C20" s="14"/>
      <c r="D20" s="14"/>
      <c r="E20" s="14"/>
      <c r="F20" s="14"/>
      <c r="G20" s="14"/>
      <c r="H20" s="15">
        <v>0.513</v>
      </c>
    </row>
    <row r="21" ht="15" customHeight="1" spans="1:8" x14ac:dyDescent="0.25">
      <c r="A21" s="16" t="s">
        <v>18</v>
      </c>
      <c r="B21" s="16"/>
      <c r="C21" s="16"/>
      <c r="D21" s="16"/>
      <c r="E21" s="16"/>
      <c r="F21" s="16"/>
      <c r="G21" s="16"/>
      <c r="H21" s="17">
        <v>0.486</v>
      </c>
    </row>
    <row r="22" ht="15" customHeight="1" spans="1:8" x14ac:dyDescent="0.25">
      <c r="A22" s="18" t="s">
        <v>19</v>
      </c>
      <c r="B22" s="18"/>
      <c r="C22" s="18"/>
      <c r="D22" s="18"/>
      <c r="E22" s="18"/>
      <c r="F22" s="18"/>
      <c r="G22" s="18"/>
      <c r="H22" s="19">
        <v>0.486</v>
      </c>
    </row>
    <row r="24" ht="15" customHeight="1" spans="1:8" x14ac:dyDescent="0.25">
      <c r="A24" s="20" t="s">
        <v>20</v>
      </c>
      <c r="B24" s="20"/>
      <c r="C24" s="20"/>
      <c r="D24" s="20"/>
      <c r="E24" s="20"/>
      <c r="F24" s="20"/>
      <c r="G24" s="20"/>
      <c r="H24" s="20"/>
    </row>
  </sheetData>
  <mergeCells count="9">
    <mergeCell ref="A1:H1"/>
    <mergeCell ref="A2:H2"/>
    <mergeCell ref="A3:H3"/>
    <mergeCell ref="A18:H18"/>
    <mergeCell ref="A19:G19"/>
    <mergeCell ref="A20:G20"/>
    <mergeCell ref="A21:G21"/>
    <mergeCell ref="A22:G22"/>
    <mergeCell ref="A24:H24"/>
  </mergeCells>
  <conditionalFormatting sqref="B12:H12">
    <cfRule type="cellIs" dxfId="0" priority="2" operator="greaterThan">
      <formula>0.54</formula>
    </cfRule>
    <cfRule type="cellIs" dxfId="1" priority="3" operator="between">
      <formula>0.513</formula>
      <formula>0.54</formula>
    </cfRule>
    <cfRule type="cellIs" dxfId="2" priority="4" operator="between">
      <formula>0.486</formula>
      <formula>0.513</formula>
    </cfRule>
    <cfRule type="cellIs" dxfId="3" priority="5" operator="lessThanOrEqual">
      <formula>0.486</formula>
    </cfRule>
  </conditionalFormatting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953125"/>
  <cols>
    <col min="1" max="1" width="11.99" customWidth="1"/>
    <col min="2" max="24" width="13.02" customWidth="1"/>
  </cols>
  <sheetData>
    <row r="1" ht="15" customHeight="1" spans="1:4" x14ac:dyDescent="0.25">
      <c r="A1" s="21" t="s">
        <v>21</v>
      </c>
      <c r="B1" s="21"/>
      <c r="C1" s="22">
        <v>2565</v>
      </c>
      <c r="D1" s="20" t="s">
        <v>22</v>
      </c>
    </row>
    <row r="3" ht="15" customHeight="1" spans="1:24" x14ac:dyDescent="0.25">
      <c r="A3" s="23" t="s">
        <v>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ht="15" customHeight="1" spans="1:24" x14ac:dyDescent="0.25">
      <c r="A4" s="24" t="s">
        <v>24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ht="15" customHeight="1" spans="1:16" x14ac:dyDescent="0.25">
      <c r="A5" s="4" t="s">
        <v>25</v>
      </c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  <c r="P5" s="4">
        <v>15</v>
      </c>
    </row>
    <row r="6" ht="15" customHeight="1" spans="1:16" x14ac:dyDescent="0.25">
      <c r="A6" s="25" t="s">
        <v>26</v>
      </c>
      <c r="B6" s="26">
        <v>2007.8</v>
      </c>
      <c r="C6" s="26">
        <v>2274.15</v>
      </c>
      <c r="D6" s="26">
        <v>2342.37</v>
      </c>
      <c r="E6" s="26">
        <v>2412.84</v>
      </c>
      <c r="F6" s="26">
        <v>2485.62</v>
      </c>
      <c r="G6" s="26">
        <v>2559.51</v>
      </c>
      <c r="H6" s="26">
        <v>2636.36</v>
      </c>
      <c r="I6" s="26">
        <v>2715.45</v>
      </c>
      <c r="J6" s="26">
        <v>2796.91</v>
      </c>
      <c r="K6" s="26">
        <v>2880.82</v>
      </c>
      <c r="L6" s="26">
        <v>2967.25</v>
      </c>
      <c r="M6" s="26">
        <v>3056.26</v>
      </c>
      <c r="N6" s="26">
        <v>3147.95</v>
      </c>
      <c r="O6" s="26">
        <v>3242.39</v>
      </c>
      <c r="P6" s="26">
        <v>3339.66</v>
      </c>
    </row>
    <row r="7" ht="15" customHeight="1" spans="1:16" x14ac:dyDescent="0.25">
      <c r="A7" s="25" t="s">
        <v>27</v>
      </c>
      <c r="B7" s="26">
        <v>2308.81</v>
      </c>
      <c r="C7" s="26">
        <v>2615.27</v>
      </c>
      <c r="D7" s="26">
        <v>2693.73</v>
      </c>
      <c r="E7" s="26">
        <v>2775.54</v>
      </c>
      <c r="F7" s="26">
        <v>2857.78</v>
      </c>
      <c r="G7" s="26">
        <v>2943.51</v>
      </c>
      <c r="H7" s="26">
        <v>3031.81</v>
      </c>
      <c r="I7" s="26">
        <v>3122.77</v>
      </c>
      <c r="J7" s="26">
        <v>3216.45</v>
      </c>
      <c r="K7" s="26">
        <v>3312.95</v>
      </c>
      <c r="L7" s="26">
        <v>3412.33</v>
      </c>
      <c r="M7" s="26">
        <v>3514.7</v>
      </c>
      <c r="N7" s="26">
        <v>3620.14</v>
      </c>
      <c r="O7" s="26">
        <v>3728.75</v>
      </c>
      <c r="P7" s="26">
        <v>3840.61</v>
      </c>
    </row>
    <row r="8" ht="15" customHeight="1" spans="1:16" x14ac:dyDescent="0.25">
      <c r="A8" s="25" t="s">
        <v>28</v>
      </c>
      <c r="B8" s="26">
        <v>2704.14</v>
      </c>
      <c r="C8" s="26">
        <v>2785.26</v>
      </c>
      <c r="D8" s="26">
        <v>2868.82</v>
      </c>
      <c r="E8" s="26">
        <v>2954.88</v>
      </c>
      <c r="F8" s="26">
        <v>3043.53</v>
      </c>
      <c r="G8" s="26">
        <v>3134.84</v>
      </c>
      <c r="H8" s="26">
        <v>3228.88</v>
      </c>
      <c r="I8" s="26">
        <v>3325.75</v>
      </c>
      <c r="J8" s="26">
        <v>3425.52</v>
      </c>
      <c r="K8" s="26">
        <v>3528.29</v>
      </c>
      <c r="L8" s="26">
        <v>3634.14</v>
      </c>
      <c r="M8" s="26">
        <v>3743.16</v>
      </c>
      <c r="N8" s="26">
        <v>3855.45</v>
      </c>
      <c r="O8" s="26">
        <v>3971.12</v>
      </c>
      <c r="P8" s="26">
        <v>4090.25</v>
      </c>
    </row>
    <row r="9" ht="15" customHeight="1" spans="1:16" x14ac:dyDescent="0.25">
      <c r="A9" s="25" t="s">
        <v>29</v>
      </c>
      <c r="B9" s="26">
        <v>2974.55</v>
      </c>
      <c r="C9" s="26">
        <v>3063.79</v>
      </c>
      <c r="D9" s="26">
        <v>3155.7</v>
      </c>
      <c r="E9" s="26">
        <v>3250.37</v>
      </c>
      <c r="F9" s="26">
        <v>3347.88</v>
      </c>
      <c r="G9" s="26">
        <v>3448.32</v>
      </c>
      <c r="H9" s="26">
        <v>3551.77</v>
      </c>
      <c r="I9" s="26">
        <v>3658.32</v>
      </c>
      <c r="J9" s="26">
        <v>3768.07</v>
      </c>
      <c r="K9" s="26">
        <v>3881.12</v>
      </c>
      <c r="L9" s="26">
        <v>3997.55</v>
      </c>
      <c r="M9" s="26">
        <v>4117.48</v>
      </c>
      <c r="N9" s="26">
        <v>4241</v>
      </c>
      <c r="O9" s="26">
        <v>4368.23</v>
      </c>
      <c r="P9" s="26">
        <v>4499.28</v>
      </c>
    </row>
    <row r="10" ht="15" customHeight="1" spans="1:9" x14ac:dyDescent="0.25">
      <c r="A10" s="4" t="s">
        <v>25</v>
      </c>
      <c r="B10" s="4">
        <v>16</v>
      </c>
      <c r="C10" s="4">
        <v>17</v>
      </c>
      <c r="D10" s="4">
        <v>18</v>
      </c>
      <c r="E10" s="4">
        <v>19</v>
      </c>
      <c r="F10" s="4">
        <v>20</v>
      </c>
      <c r="G10" s="4">
        <v>21</v>
      </c>
      <c r="H10" s="4">
        <v>22</v>
      </c>
      <c r="I10" s="4">
        <v>23</v>
      </c>
    </row>
    <row r="11" ht="15" customHeight="1" spans="1:9" x14ac:dyDescent="0.25">
      <c r="A11" s="25" t="s">
        <v>26</v>
      </c>
      <c r="B11" s="26">
        <v>3439.85</v>
      </c>
      <c r="C11" s="26">
        <v>3543.05</v>
      </c>
      <c r="D11" s="26">
        <v>3649.34</v>
      </c>
      <c r="E11" s="26">
        <v>3758.82</v>
      </c>
      <c r="F11" s="26">
        <v>3871.58</v>
      </c>
      <c r="G11" s="26">
        <v>3987.73</v>
      </c>
      <c r="H11" s="26">
        <v>4107.36</v>
      </c>
      <c r="I11" s="26">
        <v>4230.58</v>
      </c>
    </row>
    <row r="12" ht="15" customHeight="1" spans="1:9" x14ac:dyDescent="0.25">
      <c r="A12" s="25" t="s">
        <v>27</v>
      </c>
      <c r="B12" s="26">
        <v>3955.83</v>
      </c>
      <c r="C12" s="26">
        <v>4074.5</v>
      </c>
      <c r="D12" s="26">
        <v>4196.74</v>
      </c>
      <c r="E12" s="26">
        <v>4322.64</v>
      </c>
      <c r="F12" s="26">
        <v>4452.32</v>
      </c>
      <c r="G12" s="26">
        <v>4585.89</v>
      </c>
      <c r="H12" s="26">
        <v>4723.47</v>
      </c>
      <c r="I12" s="26">
        <v>4865.17</v>
      </c>
    </row>
    <row r="13" ht="15" customHeight="1" spans="1:9" x14ac:dyDescent="0.25">
      <c r="A13" s="25" t="s">
        <v>28</v>
      </c>
      <c r="B13" s="26">
        <v>4212.96</v>
      </c>
      <c r="C13" s="26">
        <v>4339.35</v>
      </c>
      <c r="D13" s="26">
        <v>4469.53</v>
      </c>
      <c r="E13" s="26">
        <v>4603.61</v>
      </c>
      <c r="F13" s="26">
        <v>4741.72</v>
      </c>
      <c r="G13" s="26">
        <v>4883.97</v>
      </c>
      <c r="H13" s="26">
        <v>5030.49</v>
      </c>
      <c r="I13" s="26">
        <v>5181.41</v>
      </c>
    </row>
    <row r="14" ht="15" customHeight="1" spans="1:9" x14ac:dyDescent="0.25">
      <c r="A14" s="25" t="s">
        <v>29</v>
      </c>
      <c r="B14" s="26">
        <v>4634.25</v>
      </c>
      <c r="C14" s="26">
        <v>4773.28</v>
      </c>
      <c r="D14" s="26">
        <v>4916.48</v>
      </c>
      <c r="E14" s="26">
        <v>5063.97</v>
      </c>
      <c r="F14" s="26">
        <v>5215.89</v>
      </c>
      <c r="G14" s="26">
        <v>5372.37</v>
      </c>
      <c r="H14" s="26">
        <v>5533.54</v>
      </c>
      <c r="I14" s="26">
        <v>5699.55</v>
      </c>
    </row>
    <row r="17" ht="15" customHeight="1" spans="1:24" x14ac:dyDescent="0.25">
      <c r="A17" s="27" t="s">
        <v>30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ht="15" customHeight="1" spans="1:24" x14ac:dyDescent="0.25">
      <c r="A18" s="28" t="s">
        <v>24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ht="15" customHeight="1" spans="1:16" x14ac:dyDescent="0.25">
      <c r="A19" s="4" t="s">
        <v>25</v>
      </c>
      <c r="B19" s="4">
        <v>1</v>
      </c>
      <c r="C19" s="4">
        <v>2</v>
      </c>
      <c r="D19" s="4">
        <v>3</v>
      </c>
      <c r="E19" s="4">
        <v>4</v>
      </c>
      <c r="F19" s="4">
        <v>5</v>
      </c>
      <c r="G19" s="4">
        <v>6</v>
      </c>
      <c r="H19" s="4">
        <v>7</v>
      </c>
      <c r="I19" s="4">
        <v>8</v>
      </c>
      <c r="J19" s="4">
        <v>9</v>
      </c>
      <c r="K19" s="4">
        <v>10</v>
      </c>
      <c r="L19" s="4">
        <v>11</v>
      </c>
      <c r="M19" s="4">
        <v>12</v>
      </c>
      <c r="N19" s="4">
        <v>13</v>
      </c>
      <c r="O19" s="4">
        <v>14</v>
      </c>
      <c r="P19" s="4">
        <v>15</v>
      </c>
    </row>
    <row r="20" ht="15" customHeight="1" spans="1:16" x14ac:dyDescent="0.25">
      <c r="A20" s="29" t="s">
        <v>26</v>
      </c>
      <c r="B20" s="6">
        <v>2565.32</v>
      </c>
      <c r="C20" s="6">
        <v>2642.28</v>
      </c>
      <c r="D20" s="6">
        <v>2721.55</v>
      </c>
      <c r="E20" s="6">
        <v>2803.19</v>
      </c>
      <c r="F20" s="6">
        <v>2887.29</v>
      </c>
      <c r="G20" s="6">
        <v>2973.91</v>
      </c>
      <c r="H20" s="6">
        <v>3063.13</v>
      </c>
      <c r="I20" s="6">
        <v>3155.02</v>
      </c>
      <c r="J20" s="6">
        <v>3249.67</v>
      </c>
      <c r="K20" s="6">
        <v>3347.16</v>
      </c>
      <c r="L20" s="6">
        <v>3447.58</v>
      </c>
      <c r="M20" s="6">
        <v>3551</v>
      </c>
      <c r="N20" s="6">
        <v>3657.53</v>
      </c>
      <c r="O20" s="6">
        <v>3767.26</v>
      </c>
      <c r="P20" s="6">
        <v>3880.28</v>
      </c>
    </row>
    <row r="21" ht="15" customHeight="1" spans="1:16" x14ac:dyDescent="0.25">
      <c r="A21" s="29" t="s">
        <v>27</v>
      </c>
      <c r="B21" s="6">
        <v>2950.12</v>
      </c>
      <c r="C21" s="6">
        <v>3038.62</v>
      </c>
      <c r="D21" s="6">
        <v>3129.78</v>
      </c>
      <c r="E21" s="6">
        <v>3223.67</v>
      </c>
      <c r="F21" s="6">
        <v>3320.38</v>
      </c>
      <c r="G21" s="6">
        <v>3420</v>
      </c>
      <c r="H21" s="6">
        <v>3522.6</v>
      </c>
      <c r="I21" s="6">
        <v>3628.27</v>
      </c>
      <c r="J21" s="6">
        <v>3737.12</v>
      </c>
      <c r="K21" s="6">
        <v>3849.23</v>
      </c>
      <c r="L21" s="6">
        <v>3964.71</v>
      </c>
      <c r="M21" s="6">
        <v>4083.65</v>
      </c>
      <c r="N21" s="6">
        <v>4206.16</v>
      </c>
      <c r="O21" s="6">
        <v>4332.35</v>
      </c>
      <c r="P21" s="6">
        <v>4462.32</v>
      </c>
    </row>
    <row r="22" ht="15" customHeight="1" spans="1:16" x14ac:dyDescent="0.25">
      <c r="A22" s="29" t="s">
        <v>28</v>
      </c>
      <c r="B22" s="6">
        <v>3141.88</v>
      </c>
      <c r="C22" s="6">
        <v>3236.13</v>
      </c>
      <c r="D22" s="6">
        <v>3333.22</v>
      </c>
      <c r="E22" s="6">
        <v>3433.21</v>
      </c>
      <c r="F22" s="6">
        <v>3536.21</v>
      </c>
      <c r="G22" s="6">
        <v>3642.3</v>
      </c>
      <c r="H22" s="6">
        <v>3751.56</v>
      </c>
      <c r="I22" s="6">
        <v>3864.11</v>
      </c>
      <c r="J22" s="6">
        <v>3980.03</v>
      </c>
      <c r="K22" s="6">
        <v>4099.44</v>
      </c>
      <c r="L22" s="6">
        <v>4222.42</v>
      </c>
      <c r="M22" s="6">
        <v>4349.09</v>
      </c>
      <c r="N22" s="6">
        <v>4479.56</v>
      </c>
      <c r="O22" s="6">
        <v>4613.95</v>
      </c>
      <c r="P22" s="6">
        <v>4752.37</v>
      </c>
    </row>
    <row r="23" ht="15" customHeight="1" spans="1:16" x14ac:dyDescent="0.25">
      <c r="A23" s="29" t="s">
        <v>29</v>
      </c>
      <c r="B23" s="6">
        <v>3456.06</v>
      </c>
      <c r="C23" s="6">
        <v>3559.75</v>
      </c>
      <c r="D23" s="6">
        <v>3666.54</v>
      </c>
      <c r="E23" s="6">
        <v>3776.53</v>
      </c>
      <c r="F23" s="6">
        <v>3889.83</v>
      </c>
      <c r="G23" s="6">
        <v>4006.52</v>
      </c>
      <c r="H23" s="6">
        <v>4126.72</v>
      </c>
      <c r="I23" s="6">
        <v>4250.52</v>
      </c>
      <c r="J23" s="6">
        <v>4378.04</v>
      </c>
      <c r="K23" s="6">
        <v>4509.38</v>
      </c>
      <c r="L23" s="6">
        <v>4644.66</v>
      </c>
      <c r="M23" s="6">
        <v>4784</v>
      </c>
      <c r="N23" s="6">
        <v>4927.52</v>
      </c>
      <c r="O23" s="6">
        <v>5075.35</v>
      </c>
      <c r="P23" s="6">
        <v>5227.61</v>
      </c>
    </row>
    <row r="24" ht="15" customHeight="1" spans="1:9" x14ac:dyDescent="0.25">
      <c r="A24" s="4" t="s">
        <v>25</v>
      </c>
      <c r="B24" s="4">
        <v>16</v>
      </c>
      <c r="C24" s="4">
        <v>17</v>
      </c>
      <c r="D24" s="4">
        <v>18</v>
      </c>
      <c r="E24" s="4">
        <v>19</v>
      </c>
      <c r="F24" s="4">
        <v>20</v>
      </c>
      <c r="G24" s="4">
        <v>21</v>
      </c>
      <c r="H24" s="4">
        <v>22</v>
      </c>
      <c r="I24" s="4">
        <v>23</v>
      </c>
    </row>
    <row r="25" ht="15" customHeight="1" spans="1:9" x14ac:dyDescent="0.25">
      <c r="A25" s="29" t="s">
        <v>26</v>
      </c>
      <c r="B25" s="6">
        <v>3996.68</v>
      </c>
      <c r="C25" s="6">
        <v>4116.59</v>
      </c>
      <c r="D25" s="6">
        <v>4240.08</v>
      </c>
      <c r="E25" s="6">
        <v>4367.29</v>
      </c>
      <c r="F25" s="6">
        <v>4498.3</v>
      </c>
      <c r="G25" s="6">
        <v>4633.21</v>
      </c>
      <c r="H25" s="6">
        <v>4772.25</v>
      </c>
      <c r="I25" s="6">
        <v>4915.42</v>
      </c>
    </row>
    <row r="26" ht="15" customHeight="1" spans="1:9" x14ac:dyDescent="0.25">
      <c r="A26" s="29" t="s">
        <v>27</v>
      </c>
      <c r="B26" s="6">
        <v>4596.19</v>
      </c>
      <c r="C26" s="6">
        <v>4734.07</v>
      </c>
      <c r="D26" s="6">
        <v>4876.1</v>
      </c>
      <c r="E26" s="6">
        <v>5022.38</v>
      </c>
      <c r="F26" s="6">
        <v>5173.05</v>
      </c>
      <c r="G26" s="6">
        <v>5328.24</v>
      </c>
      <c r="H26" s="6">
        <v>5488.09</v>
      </c>
      <c r="I26" s="6">
        <v>5652.73</v>
      </c>
    </row>
    <row r="27" ht="15" customHeight="1" spans="1:9" x14ac:dyDescent="0.25">
      <c r="A27" s="29" t="s">
        <v>28</v>
      </c>
      <c r="B27" s="6">
        <v>4894.94</v>
      </c>
      <c r="C27" s="6">
        <v>5041.79</v>
      </c>
      <c r="D27" s="6">
        <v>5193.04</v>
      </c>
      <c r="E27" s="6">
        <v>5348.83</v>
      </c>
      <c r="F27" s="6">
        <v>5509.3</v>
      </c>
      <c r="G27" s="6">
        <v>5674.58</v>
      </c>
      <c r="H27" s="6">
        <v>5844.81</v>
      </c>
      <c r="I27" s="6">
        <v>6020.16</v>
      </c>
    </row>
    <row r="28" ht="15" customHeight="1" spans="1:9" x14ac:dyDescent="0.25">
      <c r="A28" s="29" t="s">
        <v>29</v>
      </c>
      <c r="B28" s="6">
        <v>5384.43</v>
      </c>
      <c r="C28" s="6">
        <v>5545.97</v>
      </c>
      <c r="D28" s="6">
        <v>5712.35</v>
      </c>
      <c r="E28" s="6">
        <v>5883.72</v>
      </c>
      <c r="F28" s="6">
        <v>6060.23</v>
      </c>
      <c r="G28" s="6">
        <v>6242.03</v>
      </c>
      <c r="H28" s="6">
        <v>6429.3</v>
      </c>
      <c r="I28" s="6">
        <v>6622.17</v>
      </c>
    </row>
    <row r="31" ht="15" customHeight="1" spans="1:24" x14ac:dyDescent="0.25">
      <c r="A31" s="30" t="s">
        <v>31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ht="15" customHeight="1" spans="1:24" x14ac:dyDescent="0.25">
      <c r="A32" s="31" t="s">
        <v>32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ht="15" customHeight="1" spans="1:16" x14ac:dyDescent="0.25">
      <c r="A33" s="4" t="s">
        <v>25</v>
      </c>
      <c r="B33" s="4">
        <v>1</v>
      </c>
      <c r="C33" s="4">
        <v>2</v>
      </c>
      <c r="D33" s="4">
        <v>3</v>
      </c>
      <c r="E33" s="4">
        <v>4</v>
      </c>
      <c r="F33" s="4">
        <v>5</v>
      </c>
      <c r="G33" s="4">
        <v>6</v>
      </c>
      <c r="H33" s="4">
        <v>7</v>
      </c>
      <c r="I33" s="4">
        <v>8</v>
      </c>
      <c r="J33" s="4">
        <v>9</v>
      </c>
      <c r="K33" s="4">
        <v>10</v>
      </c>
      <c r="L33" s="4">
        <v>11</v>
      </c>
      <c r="M33" s="4">
        <v>12</v>
      </c>
      <c r="N33" s="4">
        <v>13</v>
      </c>
      <c r="O33" s="4">
        <v>14</v>
      </c>
      <c r="P33" s="4">
        <v>15</v>
      </c>
    </row>
    <row r="34" ht="15" customHeight="1" spans="1:16" x14ac:dyDescent="0.25">
      <c r="A34" s="32" t="s">
        <v>26</v>
      </c>
      <c r="B34" s="33">
        <f>B20-B6</f>
        <v>557.52</v>
      </c>
      <c r="C34" s="33">
        <f>C20-C6</f>
        <v>368.13</v>
      </c>
      <c r="D34" s="33">
        <f>D20-D6</f>
        <v>379.18</v>
      </c>
      <c r="E34" s="33">
        <f>E20-E6</f>
        <v>390.35</v>
      </c>
      <c r="F34" s="33">
        <f>F20-F6</f>
        <v>401.67</v>
      </c>
      <c r="G34" s="33">
        <f>G20-G6</f>
        <v>414.4</v>
      </c>
      <c r="H34" s="33">
        <f>H20-H6</f>
        <v>426.77</v>
      </c>
      <c r="I34" s="33">
        <f>I20-I6</f>
        <v>439.57</v>
      </c>
      <c r="J34" s="33">
        <f>J20-J6</f>
        <v>452.76</v>
      </c>
      <c r="K34" s="33">
        <f>K20-K6</f>
        <v>466.34</v>
      </c>
      <c r="L34" s="33">
        <f>L20-L6</f>
        <v>480.33</v>
      </c>
      <c r="M34" s="33">
        <f>M20-M6</f>
        <v>494.74</v>
      </c>
      <c r="N34" s="33">
        <f>N20-N6</f>
        <v>509.58</v>
      </c>
      <c r="O34" s="33">
        <f>O20-O6</f>
        <v>524.87</v>
      </c>
      <c r="P34" s="33">
        <f>P20-P6</f>
        <v>540.62</v>
      </c>
    </row>
    <row r="35" ht="15" customHeight="1" spans="1:16" x14ac:dyDescent="0.25">
      <c r="A35" s="32" t="s">
        <v>27</v>
      </c>
      <c r="B35" s="33">
        <f>B21-B7</f>
        <v>641.31</v>
      </c>
      <c r="C35" s="33">
        <f>C21-C7</f>
        <v>423.35</v>
      </c>
      <c r="D35" s="33">
        <f>D21-D7</f>
        <v>436.05</v>
      </c>
      <c r="E35" s="33">
        <f>E21-E7</f>
        <v>448.13</v>
      </c>
      <c r="F35" s="33">
        <f>F21-F7</f>
        <v>462.6</v>
      </c>
      <c r="G35" s="33">
        <f>G21-G7</f>
        <v>476.49</v>
      </c>
      <c r="H35" s="33">
        <f>H21-H7</f>
        <v>490.79</v>
      </c>
      <c r="I35" s="33">
        <f>I21-I7</f>
        <v>505.5</v>
      </c>
      <c r="J35" s="33">
        <f>J21-J7</f>
        <v>520.67</v>
      </c>
      <c r="K35" s="33">
        <f>K21-K7</f>
        <v>536.28</v>
      </c>
      <c r="L35" s="33">
        <f>L21-L7</f>
        <v>552.38</v>
      </c>
      <c r="M35" s="33">
        <f>M21-M7</f>
        <v>568.95</v>
      </c>
      <c r="N35" s="33">
        <f>N21-N7</f>
        <v>586.02</v>
      </c>
      <c r="O35" s="33">
        <f>O21-O7</f>
        <v>603.6</v>
      </c>
      <c r="P35" s="33">
        <f>P21-P7</f>
        <v>621.71</v>
      </c>
    </row>
    <row r="36" ht="15" customHeight="1" spans="1:16" x14ac:dyDescent="0.25">
      <c r="A36" s="32" t="s">
        <v>28</v>
      </c>
      <c r="B36" s="33">
        <f>B22-B8</f>
        <v>437.74</v>
      </c>
      <c r="C36" s="33">
        <f>C22-C8</f>
        <v>450.87</v>
      </c>
      <c r="D36" s="33">
        <f>D22-D8</f>
        <v>464.4</v>
      </c>
      <c r="E36" s="33">
        <f>E22-E8</f>
        <v>478.33</v>
      </c>
      <c r="F36" s="33">
        <f>F22-F8</f>
        <v>492.68</v>
      </c>
      <c r="G36" s="33">
        <f>G22-G8</f>
        <v>507.46</v>
      </c>
      <c r="H36" s="33">
        <f>H22-H8</f>
        <v>522.68</v>
      </c>
      <c r="I36" s="33">
        <f>I22-I8</f>
        <v>538.36</v>
      </c>
      <c r="J36" s="33">
        <f>J22-J8</f>
        <v>554.51</v>
      </c>
      <c r="K36" s="33">
        <f>K22-K8</f>
        <v>571.15</v>
      </c>
      <c r="L36" s="33">
        <f>L22-L8</f>
        <v>588.28</v>
      </c>
      <c r="M36" s="33">
        <f>M22-M8</f>
        <v>605.93</v>
      </c>
      <c r="N36" s="33">
        <f>N22-N8</f>
        <v>624.110000000001</v>
      </c>
      <c r="O36" s="33">
        <f>O22-O8</f>
        <v>642.83</v>
      </c>
      <c r="P36" s="33">
        <f>P22-P8</f>
        <v>662.12</v>
      </c>
    </row>
    <row r="37" ht="15" customHeight="1" spans="1:16" x14ac:dyDescent="0.25">
      <c r="A37" s="32" t="s">
        <v>29</v>
      </c>
      <c r="B37" s="33">
        <f>B23-B9</f>
        <v>481.51</v>
      </c>
      <c r="C37" s="33">
        <f>C23-C9</f>
        <v>495.96</v>
      </c>
      <c r="D37" s="33">
        <f>D23-D9</f>
        <v>510.84</v>
      </c>
      <c r="E37" s="33">
        <f>E23-E9</f>
        <v>526.16</v>
      </c>
      <c r="F37" s="33">
        <f>F23-F9</f>
        <v>541.95</v>
      </c>
      <c r="G37" s="33">
        <f>G23-G9</f>
        <v>558.2</v>
      </c>
      <c r="H37" s="33">
        <f>H23-H9</f>
        <v>574.95</v>
      </c>
      <c r="I37" s="33">
        <f>I23-I9</f>
        <v>592.2</v>
      </c>
      <c r="J37" s="33">
        <f>J23-J9</f>
        <v>609.97</v>
      </c>
      <c r="K37" s="33">
        <f>K23-K9</f>
        <v>628.26</v>
      </c>
      <c r="L37" s="33">
        <f>L23-L9</f>
        <v>647.11</v>
      </c>
      <c r="M37" s="33">
        <f>M23-M9</f>
        <v>666.52</v>
      </c>
      <c r="N37" s="33">
        <f>N23-N9</f>
        <v>686.52</v>
      </c>
      <c r="O37" s="33">
        <f>O23-O9</f>
        <v>707.120000000001</v>
      </c>
      <c r="P37" s="33">
        <f>P23-P9</f>
        <v>728.33</v>
      </c>
    </row>
    <row r="38" ht="15" customHeight="1" spans="1:9" x14ac:dyDescent="0.25">
      <c r="A38" s="4" t="s">
        <v>25</v>
      </c>
      <c r="B38" s="4">
        <v>16</v>
      </c>
      <c r="C38" s="4">
        <v>17</v>
      </c>
      <c r="D38" s="4">
        <v>18</v>
      </c>
      <c r="E38" s="4">
        <v>19</v>
      </c>
      <c r="F38" s="4">
        <v>20</v>
      </c>
      <c r="G38" s="4">
        <v>21</v>
      </c>
      <c r="H38" s="4">
        <v>22</v>
      </c>
      <c r="I38" s="4">
        <v>23</v>
      </c>
    </row>
    <row r="39" ht="15" customHeight="1" spans="1:9" x14ac:dyDescent="0.25">
      <c r="A39" s="32" t="s">
        <v>26</v>
      </c>
      <c r="B39" s="33">
        <f>B25-B11</f>
        <v>556.83</v>
      </c>
      <c r="C39" s="33">
        <f>C25-C11</f>
        <v>573.54</v>
      </c>
      <c r="D39" s="33">
        <f>D25-D11</f>
        <v>590.74</v>
      </c>
      <c r="E39" s="33">
        <f>E25-E11</f>
        <v>608.47</v>
      </c>
      <c r="F39" s="33">
        <f>F25-F11</f>
        <v>626.72</v>
      </c>
      <c r="G39" s="33">
        <f>G25-G11</f>
        <v>645.48</v>
      </c>
      <c r="H39" s="33">
        <f>H25-H11</f>
        <v>664.89</v>
      </c>
      <c r="I39" s="33">
        <f>I25-I11</f>
        <v>684.84</v>
      </c>
    </row>
    <row r="40" ht="15" customHeight="1" spans="1:9" x14ac:dyDescent="0.25">
      <c r="A40" s="32" t="s">
        <v>27</v>
      </c>
      <c r="B40" s="33">
        <f>B26-B12</f>
        <v>640.36</v>
      </c>
      <c r="C40" s="33">
        <f>C26-C12</f>
        <v>659.57</v>
      </c>
      <c r="D40" s="33">
        <f>D26-D12</f>
        <v>679.360000000001</v>
      </c>
      <c r="E40" s="33">
        <f>E26-E12</f>
        <v>699.74</v>
      </c>
      <c r="F40" s="33">
        <f>F26-F12</f>
        <v>720.73</v>
      </c>
      <c r="G40" s="33">
        <f>G26-G12</f>
        <v>742.349999999999</v>
      </c>
      <c r="H40" s="33">
        <f>H26-H12</f>
        <v>764.62</v>
      </c>
      <c r="I40" s="33">
        <f>I26-I12</f>
        <v>787.56</v>
      </c>
    </row>
    <row r="41" ht="15" customHeight="1" spans="1:9" x14ac:dyDescent="0.25">
      <c r="A41" s="32" t="s">
        <v>28</v>
      </c>
      <c r="B41" s="33">
        <f>B27-B13</f>
        <v>681.98</v>
      </c>
      <c r="C41" s="33">
        <f>C27-C13</f>
        <v>702.44</v>
      </c>
      <c r="D41" s="33">
        <f>D27-D13</f>
        <v>723.51</v>
      </c>
      <c r="E41" s="33">
        <f>E27-E13</f>
        <v>745.22</v>
      </c>
      <c r="F41" s="33">
        <f>F27-F13</f>
        <v>767.58</v>
      </c>
      <c r="G41" s="33">
        <f>G27-G13</f>
        <v>790.61</v>
      </c>
      <c r="H41" s="33">
        <f>H27-H13</f>
        <v>814.320000000001</v>
      </c>
      <c r="I41" s="33">
        <f>I27-I13</f>
        <v>838.75</v>
      </c>
    </row>
    <row r="42" ht="15" customHeight="1" spans="1:9" x14ac:dyDescent="0.25">
      <c r="A42" s="32" t="s">
        <v>29</v>
      </c>
      <c r="B42" s="33">
        <f>B28-B14</f>
        <v>750.18</v>
      </c>
      <c r="C42" s="33">
        <f>C28-C14</f>
        <v>772.690000000001</v>
      </c>
      <c r="D42" s="33">
        <f>D28-D14</f>
        <v>795.870000000001</v>
      </c>
      <c r="E42" s="33">
        <f>E28-E14</f>
        <v>819.75</v>
      </c>
      <c r="F42" s="33">
        <f>F28-F14</f>
        <v>844.339999999999</v>
      </c>
      <c r="G42" s="33">
        <f>G28-G14</f>
        <v>869.66</v>
      </c>
      <c r="H42" s="33">
        <f>H28-H14</f>
        <v>895.76</v>
      </c>
      <c r="I42" s="33">
        <f>I28-I14</f>
        <v>922.62</v>
      </c>
    </row>
    <row r="44" ht="15" customHeight="1" spans="1:14" x14ac:dyDescent="0.25">
      <c r="A44" s="30" t="s">
        <v>33</v>
      </c>
      <c r="B44" s="30"/>
      <c r="C44" s="30"/>
      <c r="D44" s="30"/>
      <c r="E44" s="30"/>
      <c r="F44" s="30"/>
      <c r="G44" s="30"/>
      <c r="H44" s="30"/>
      <c r="I44" s="30"/>
      <c r="J44" s="30"/>
      <c r="L44" s="34">
        <f>IF((SUM(B20:P23)+SUM(B25:I28))=0,"",1-(SUM(B6:P9)+SUM(B11:I14))/(SUM(B20:P23)+SUM(B25:I28)))</f>
        <v>0.140414212692207</v>
      </c>
      <c r="M44" s="34"/>
      <c r="N44" s="34"/>
    </row>
    <row r="45" ht="15" customHeight="1" spans="1:14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L45" s="34"/>
      <c r="M45" s="34"/>
      <c r="N45" s="34"/>
    </row>
    <row r="47" ht="15" customHeight="1" spans="1:12" x14ac:dyDescent="0.25">
      <c r="A47" s="35" t="s">
        <v>34</v>
      </c>
      <c r="B47" s="35"/>
      <c r="C47" s="35"/>
      <c r="D47" s="35"/>
      <c r="E47" s="35"/>
      <c r="F47" s="35"/>
      <c r="G47" s="35"/>
      <c r="H47" s="35"/>
      <c r="I47" s="35"/>
      <c r="J47" s="35"/>
      <c r="L47" s="36">
        <f>SUM(B34:P37)+SUM(B39:I42)</f>
        <v>55198.79</v>
      </c>
    </row>
    <row r="49" ht="15" customHeight="1" spans="1:20" x14ac:dyDescent="0.25">
      <c r="A49" s="20" t="s">
        <v>35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</sheetData>
  <mergeCells count="11">
    <mergeCell ref="A1:B1"/>
    <mergeCell ref="A3:X3"/>
    <mergeCell ref="A4:X4"/>
    <mergeCell ref="A17:X17"/>
    <mergeCell ref="A18:X18"/>
    <mergeCell ref="A31:X31"/>
    <mergeCell ref="A32:X32"/>
    <mergeCell ref="A44:J45"/>
    <mergeCell ref="L44:N45"/>
    <mergeCell ref="A47:J47"/>
    <mergeCell ref="A49:T49"/>
  </mergeCells>
  <conditionalFormatting sqref="B6:P9">
    <cfRule type="expression" dxfId="4" priority="2">
      <formula>B6&lt;$C$1</formula>
    </cfRule>
  </conditionalFormatting>
  <conditionalFormatting sqref="B11:I14">
    <cfRule type="expression" dxfId="5" priority="3">
      <formula>B11&lt;$C$1</formula>
    </cfRule>
  </conditionalFormatting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Módulo 1 - Análise Financeira</vt:lpstr>
      <vt:lpstr>Módulo 2 - Tabela Vencimentos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cp:revision>2</cp:revision>
  <dcterms:created xsi:type="dcterms:W3CDTF">2026-09-25T20:22:15Z</dcterms:created>
  <dcterms:modified xsi:type="dcterms:W3CDTF">2026-09-25T17:22:32Z</dcterms:modified>
</cp:coreProperties>
</file>